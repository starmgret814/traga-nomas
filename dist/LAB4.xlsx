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ils\Downloads\nav-search-bar\public\"/>
    </mc:Choice>
  </mc:AlternateContent>
  <xr:revisionPtr revIDLastSave="0" documentId="13_ncr:1_{22A17504-50D0-41F5-A362-414602D7604E}" xr6:coauthVersionLast="47" xr6:coauthVersionMax="47" xr10:uidLastSave="{00000000-0000-0000-0000-000000000000}"/>
  <bookViews>
    <workbookView xWindow="-110" yWindow="-110" windowWidth="25820" windowHeight="13900" xr2:uid="{EFDB0689-BEB6-45F6-824A-A83CD08601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7" i="1" l="1"/>
  <c r="I118" i="1"/>
  <c r="I119" i="1"/>
  <c r="I120" i="1"/>
  <c r="I121" i="1"/>
  <c r="I122" i="1"/>
  <c r="I123" i="1"/>
  <c r="I124" i="1"/>
  <c r="I125" i="1"/>
  <c r="I126" i="1"/>
  <c r="I116" i="1"/>
  <c r="E111" i="1"/>
  <c r="J80" i="1"/>
  <c r="J81" i="1"/>
  <c r="J82" i="1"/>
  <c r="J83" i="1"/>
  <c r="J84" i="1"/>
  <c r="J85" i="1"/>
  <c r="J86" i="1"/>
  <c r="J87" i="1"/>
  <c r="J88" i="1"/>
  <c r="J89" i="1"/>
  <c r="J79" i="1"/>
  <c r="J49" i="1"/>
  <c r="J50" i="1"/>
  <c r="J51" i="1"/>
  <c r="J52" i="1"/>
  <c r="J53" i="1"/>
  <c r="J54" i="1"/>
  <c r="J55" i="1"/>
  <c r="J56" i="1"/>
  <c r="J57" i="1"/>
  <c r="J58" i="1"/>
  <c r="J48" i="1"/>
  <c r="I49" i="1"/>
  <c r="I50" i="1"/>
  <c r="I51" i="1"/>
  <c r="I52" i="1"/>
  <c r="I53" i="1"/>
  <c r="I54" i="1"/>
  <c r="I55" i="1"/>
  <c r="I56" i="1"/>
  <c r="I57" i="1"/>
  <c r="I58" i="1"/>
  <c r="I48" i="1"/>
  <c r="I4" i="1"/>
  <c r="I5" i="1"/>
  <c r="I6" i="1"/>
  <c r="I7" i="1"/>
  <c r="I8" i="1"/>
  <c r="I9" i="1"/>
  <c r="I10" i="1"/>
  <c r="I11" i="1"/>
  <c r="I12" i="1"/>
  <c r="I13" i="1"/>
  <c r="I3" i="1"/>
  <c r="J4" i="1"/>
  <c r="J5" i="1"/>
  <c r="J6" i="1"/>
  <c r="J7" i="1"/>
  <c r="J8" i="1"/>
  <c r="J9" i="1"/>
  <c r="J10" i="1"/>
  <c r="J11" i="1"/>
  <c r="J12" i="1"/>
  <c r="J13" i="1"/>
  <c r="J3" i="1"/>
</calcChain>
</file>

<file path=xl/sharedStrings.xml><?xml version="1.0" encoding="utf-8"?>
<sst xmlns="http://schemas.openxmlformats.org/spreadsheetml/2006/main" count="43" uniqueCount="27">
  <si>
    <t>Orden de Armónico (h)</t>
  </si>
  <si>
    <t>Fn (Hz)</t>
  </si>
  <si>
    <t>Frecuencia Medida (Hz)</t>
  </si>
  <si>
    <t>V1 (v)</t>
  </si>
  <si>
    <t>Vr (v)</t>
  </si>
  <si>
    <t>I (mA)</t>
  </si>
  <si>
    <r>
      <t>X</t>
    </r>
    <r>
      <rPr>
        <b/>
        <vertAlign val="subscript"/>
        <sz val="12"/>
        <color theme="1"/>
        <rFont val="Arial"/>
        <family val="2"/>
      </rPr>
      <t>L</t>
    </r>
    <r>
      <rPr>
        <b/>
        <sz val="12"/>
        <color theme="1"/>
        <rFont val="Arial"/>
        <family val="2"/>
      </rPr>
      <t xml:space="preserve"> (</t>
    </r>
    <r>
      <rPr>
        <b/>
        <sz val="12"/>
        <color theme="1"/>
        <rFont val="Symbol"/>
        <family val="1"/>
        <charset val="2"/>
      </rPr>
      <t>W</t>
    </r>
    <r>
      <rPr>
        <b/>
        <sz val="12"/>
        <color theme="1"/>
        <rFont val="Arial"/>
        <family val="2"/>
      </rPr>
      <t>)</t>
    </r>
  </si>
  <si>
    <r>
      <t>Z(</t>
    </r>
    <r>
      <rPr>
        <b/>
        <sz val="12"/>
        <color theme="1"/>
        <rFont val="Symbol"/>
        <family val="1"/>
        <charset val="2"/>
      </rPr>
      <t>W</t>
    </r>
    <r>
      <rPr>
        <b/>
        <sz val="12"/>
        <color theme="1"/>
        <rFont val="Arial"/>
        <family val="2"/>
      </rPr>
      <t>)</t>
    </r>
  </si>
  <si>
    <t>VL (v)</t>
  </si>
  <si>
    <t>VR(v)</t>
  </si>
  <si>
    <r>
      <t>V</t>
    </r>
    <r>
      <rPr>
        <b/>
        <vertAlign val="subscript"/>
        <sz val="12"/>
        <color rgb="FF000000"/>
        <rFont val="Arial"/>
        <family val="2"/>
      </rPr>
      <t>L</t>
    </r>
    <r>
      <rPr>
        <b/>
        <sz val="12"/>
        <color rgb="FF000000"/>
        <rFont val="Arial"/>
        <family val="2"/>
      </rPr>
      <t>(v)</t>
    </r>
  </si>
  <si>
    <r>
      <t>V</t>
    </r>
    <r>
      <rPr>
        <b/>
        <vertAlign val="subscript"/>
        <sz val="12"/>
        <color rgb="FF000000"/>
        <rFont val="Arial"/>
        <family val="2"/>
      </rPr>
      <t>C</t>
    </r>
    <r>
      <rPr>
        <b/>
        <sz val="12"/>
        <color rgb="FF000000"/>
        <rFont val="Arial"/>
        <family val="2"/>
      </rPr>
      <t>(v)</t>
    </r>
  </si>
  <si>
    <r>
      <t>Z(</t>
    </r>
    <r>
      <rPr>
        <b/>
        <sz val="12"/>
        <color rgb="FF000000"/>
        <rFont val="Symbol"/>
        <family val="1"/>
        <charset val="2"/>
      </rPr>
      <t>W</t>
    </r>
    <r>
      <rPr>
        <b/>
        <sz val="12"/>
        <color rgb="FF000000"/>
        <rFont val="Arial"/>
        <family val="2"/>
      </rPr>
      <t>)</t>
    </r>
  </si>
  <si>
    <r>
      <t>V</t>
    </r>
    <r>
      <rPr>
        <b/>
        <vertAlign val="subscript"/>
        <sz val="12"/>
        <color theme="1"/>
        <rFont val="Arial"/>
        <family val="2"/>
      </rPr>
      <t>C</t>
    </r>
    <r>
      <rPr>
        <b/>
        <sz val="12"/>
        <color theme="1"/>
        <rFont val="Arial"/>
        <family val="2"/>
      </rPr>
      <t>(v)</t>
    </r>
  </si>
  <si>
    <r>
      <t>X</t>
    </r>
    <r>
      <rPr>
        <b/>
        <vertAlign val="subscript"/>
        <sz val="12"/>
        <color theme="1"/>
        <rFont val="Arial"/>
        <family val="2"/>
      </rPr>
      <t>C</t>
    </r>
    <r>
      <rPr>
        <b/>
        <sz val="12"/>
        <color theme="1"/>
        <rFont val="Arial"/>
        <family val="2"/>
      </rPr>
      <t xml:space="preserve"> (</t>
    </r>
    <r>
      <rPr>
        <b/>
        <sz val="12"/>
        <color theme="1"/>
        <rFont val="Symbol"/>
        <family val="1"/>
        <charset val="2"/>
      </rPr>
      <t>W</t>
    </r>
    <r>
      <rPr>
        <b/>
        <sz val="12"/>
        <color theme="1"/>
        <rFont val="Arial"/>
        <family val="2"/>
      </rPr>
      <t>)</t>
    </r>
  </si>
  <si>
    <t>Tipo de Resonancia</t>
  </si>
  <si>
    <r>
      <t>X</t>
    </r>
    <r>
      <rPr>
        <vertAlign val="subscript"/>
        <sz val="11"/>
        <color rgb="FF000000"/>
        <rFont val="Arial"/>
        <family val="2"/>
      </rPr>
      <t>L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Symbol"/>
        <family val="1"/>
        <charset val="2"/>
      </rPr>
      <t>W</t>
    </r>
    <r>
      <rPr>
        <sz val="11"/>
        <color rgb="FF000000"/>
        <rFont val="Arial"/>
        <family val="2"/>
      </rPr>
      <t>)</t>
    </r>
  </si>
  <si>
    <r>
      <t>X</t>
    </r>
    <r>
      <rPr>
        <vertAlign val="subscript"/>
        <sz val="11"/>
        <color rgb="FF000000"/>
        <rFont val="Arial"/>
        <family val="2"/>
      </rPr>
      <t>C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Symbol"/>
        <family val="1"/>
        <charset val="2"/>
      </rPr>
      <t>W</t>
    </r>
    <r>
      <rPr>
        <sz val="11"/>
        <color rgb="FF000000"/>
        <rFont val="Arial"/>
        <family val="2"/>
      </rPr>
      <t>)</t>
    </r>
  </si>
  <si>
    <t>hr (Teórico)</t>
  </si>
  <si>
    <t>hr (Experimental)</t>
  </si>
  <si>
    <t>Serie</t>
  </si>
  <si>
    <t>I1 (mA)</t>
  </si>
  <si>
    <t>IC (mA)</t>
  </si>
  <si>
    <r>
      <t>I</t>
    </r>
    <r>
      <rPr>
        <b/>
        <vertAlign val="subscript"/>
        <sz val="12"/>
        <color theme="1"/>
        <rFont val="Arial"/>
        <family val="2"/>
      </rPr>
      <t xml:space="preserve">r </t>
    </r>
    <r>
      <rPr>
        <b/>
        <sz val="12"/>
        <color theme="1"/>
        <rFont val="Arial"/>
        <family val="2"/>
      </rPr>
      <t>(mA)</t>
    </r>
  </si>
  <si>
    <t>IL(A)</t>
  </si>
  <si>
    <t>Zeq</t>
  </si>
  <si>
    <r>
      <t>(</t>
    </r>
    <r>
      <rPr>
        <b/>
        <sz val="12"/>
        <color theme="1"/>
        <rFont val="Symbol"/>
        <family val="1"/>
        <charset val="2"/>
      </rPr>
      <t>W</t>
    </r>
    <r>
      <rPr>
        <b/>
        <sz val="12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</si>
</sst>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vertAlign val="subscript"/>
      <sz val="12"/>
      <color theme="1"/>
      <name val="Arial"/>
      <family val="2"/>
    </font>
    <font>
      <b/>
      <sz val="12"/>
      <color theme="1"/>
      <name val="Symbol"/>
      <family val="1"/>
      <charset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b/>
      <vertAlign val="subscript"/>
      <sz val="12"/>
      <color rgb="FF000000"/>
      <name val="Arial"/>
      <family val="2"/>
    </font>
    <font>
      <b/>
      <sz val="12"/>
      <color rgb="FF000000"/>
      <name val="Symbol"/>
      <family val="1"/>
      <charset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vertAlign val="subscript"/>
      <sz val="11"/>
      <color rgb="FF000000"/>
      <name val="Arial"/>
      <family val="2"/>
    </font>
    <font>
      <sz val="11"/>
      <color rgb="FF000000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strRef>
              <c:f>Hoja1!$J$2</c:f>
              <c:strCache>
                <c:ptCount val="1"/>
                <c:pt idx="0">
                  <c:v>Z(W)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Hoja1!$C$3:$C$13</c:f>
              <c:numCache>
                <c:formatCode>General</c:formatCode>
                <c:ptCount val="11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</c:numCache>
            </c:numRef>
          </c:xVal>
          <c:yVal>
            <c:numRef>
              <c:f>Hoja1!$J$3:$J$13</c:f>
              <c:numCache>
                <c:formatCode>General</c:formatCode>
                <c:ptCount val="11"/>
                <c:pt idx="0">
                  <c:v>1.4853932584269662</c:v>
                </c:pt>
                <c:pt idx="1">
                  <c:v>2.161290322580645</c:v>
                </c:pt>
                <c:pt idx="2">
                  <c:v>2.9177489177489178</c:v>
                </c:pt>
                <c:pt idx="3">
                  <c:v>3.6885245901639343</c:v>
                </c:pt>
                <c:pt idx="4">
                  <c:v>4.5066666666666668</c:v>
                </c:pt>
                <c:pt idx="5">
                  <c:v>5.2890625</c:v>
                </c:pt>
                <c:pt idx="6">
                  <c:v>6.0446428571428559</c:v>
                </c:pt>
                <c:pt idx="7">
                  <c:v>6.78</c:v>
                </c:pt>
                <c:pt idx="8">
                  <c:v>7.704545454545455</c:v>
                </c:pt>
                <c:pt idx="9">
                  <c:v>8.4749999999999996</c:v>
                </c:pt>
                <c:pt idx="10">
                  <c:v>9.287671232876713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2BD-49D5-8AE4-B7F09C960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833280"/>
        <c:axId val="1113819360"/>
      </c:scatterChart>
      <c:valAx>
        <c:axId val="11138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19360"/>
        <c:crosses val="autoZero"/>
        <c:crossBetween val="midCat"/>
      </c:valAx>
      <c:valAx>
        <c:axId val="11138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3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strRef>
              <c:f>Hoja1!$I$2</c:f>
              <c:strCache>
                <c:ptCount val="1"/>
                <c:pt idx="0">
                  <c:v>XL (W)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Hoja1!$C$3:$C$13</c:f>
              <c:numCache>
                <c:formatCode>General</c:formatCode>
                <c:ptCount val="11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</c:numCache>
            </c:numRef>
          </c:xVal>
          <c:yVal>
            <c:numRef>
              <c:f>Hoja1!$I$3:$I$13</c:f>
              <c:numCache>
                <c:formatCode>General</c:formatCode>
                <c:ptCount val="11"/>
                <c:pt idx="0">
                  <c:v>0.9076404494382021</c:v>
                </c:pt>
                <c:pt idx="1">
                  <c:v>1.7774193548387096</c:v>
                </c:pt>
                <c:pt idx="2">
                  <c:v>2.6194805194805193</c:v>
                </c:pt>
                <c:pt idx="3">
                  <c:v>3.4404371584699454</c:v>
                </c:pt>
                <c:pt idx="4">
                  <c:v>4.2839999999999998</c:v>
                </c:pt>
                <c:pt idx="5">
                  <c:v>5.0812499999999998</c:v>
                </c:pt>
                <c:pt idx="6">
                  <c:v>5.8526785714285703</c:v>
                </c:pt>
                <c:pt idx="7">
                  <c:v>6.59</c:v>
                </c:pt>
                <c:pt idx="8">
                  <c:v>7.5113636363636367</c:v>
                </c:pt>
                <c:pt idx="9">
                  <c:v>8.2874999999999996</c:v>
                </c:pt>
                <c:pt idx="10">
                  <c:v>9.0958904109589032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C0-4797-9EE3-2A28371DB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833280"/>
        <c:axId val="1113819360"/>
      </c:scatterChart>
      <c:valAx>
        <c:axId val="11138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19360"/>
        <c:crosses val="autoZero"/>
        <c:crossBetween val="midCat"/>
      </c:valAx>
      <c:valAx>
        <c:axId val="11138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3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 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strRef>
              <c:f>Hoja1!$I$47</c:f>
              <c:strCache>
                <c:ptCount val="1"/>
                <c:pt idx="0">
                  <c:v>XC (W)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Hoja1!$D$48:$D$58</c:f>
              <c:numCache>
                <c:formatCode>General</c:formatCode>
                <c:ptCount val="11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</c:numCache>
            </c:numRef>
          </c:xVal>
          <c:yVal>
            <c:numRef>
              <c:f>Hoja1!$I$48:$I$58</c:f>
              <c:numCache>
                <c:formatCode>General</c:formatCode>
                <c:ptCount val="11"/>
                <c:pt idx="0">
                  <c:v>0.91844802342606147</c:v>
                </c:pt>
                <c:pt idx="1">
                  <c:v>0.45227858985382624</c:v>
                </c:pt>
                <c:pt idx="2">
                  <c:v>0.30154277699859749</c:v>
                </c:pt>
                <c:pt idx="3">
                  <c:v>0.2267515923566879</c:v>
                </c:pt>
                <c:pt idx="4">
                  <c:v>0.18148820326678763</c:v>
                </c:pt>
                <c:pt idx="5">
                  <c:v>0.15140845070422537</c:v>
                </c:pt>
                <c:pt idx="6">
                  <c:v>0.12968299711815562</c:v>
                </c:pt>
                <c:pt idx="7">
                  <c:v>0.11383039271485486</c:v>
                </c:pt>
                <c:pt idx="8">
                  <c:v>0.10107284020327498</c:v>
                </c:pt>
                <c:pt idx="9">
                  <c:v>9.0960134755755206E-2</c:v>
                </c:pt>
                <c:pt idx="10">
                  <c:v>8.2774049217002238E-2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AD-4152-8197-BEC738B3E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833280"/>
        <c:axId val="1113819360"/>
      </c:scatterChart>
      <c:valAx>
        <c:axId val="11138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19360"/>
        <c:crosses val="autoZero"/>
        <c:crossBetween val="midCat"/>
      </c:valAx>
      <c:valAx>
        <c:axId val="11138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3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Xc 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strRef>
              <c:f>Hoja1!$I$2</c:f>
              <c:strCache>
                <c:ptCount val="1"/>
                <c:pt idx="0">
                  <c:v>XL (W)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Hoja1!$C$3:$C$13</c:f>
              <c:numCache>
                <c:formatCode>General</c:formatCode>
                <c:ptCount val="11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</c:numCache>
            </c:numRef>
          </c:xVal>
          <c:yVal>
            <c:numRef>
              <c:f>Hoja1!$J$48:$J$58</c:f>
              <c:numCache>
                <c:formatCode>General</c:formatCode>
                <c:ptCount val="11"/>
                <c:pt idx="0">
                  <c:v>0.97510980966325034</c:v>
                </c:pt>
                <c:pt idx="1">
                  <c:v>0.55374032674118656</c:v>
                </c:pt>
                <c:pt idx="2">
                  <c:v>0.43828892005610098</c:v>
                </c:pt>
                <c:pt idx="3">
                  <c:v>0.39044585987261149</c:v>
                </c:pt>
                <c:pt idx="4">
                  <c:v>0.3660012099213551</c:v>
                </c:pt>
                <c:pt idx="5">
                  <c:v>0.35211267605633806</c:v>
                </c:pt>
                <c:pt idx="6">
                  <c:v>0.3440922190201729</c:v>
                </c:pt>
                <c:pt idx="7">
                  <c:v>0.33807626636311899</c:v>
                </c:pt>
                <c:pt idx="8">
                  <c:v>0.33483907396950874</c:v>
                </c:pt>
                <c:pt idx="9">
                  <c:v>0.33183604716451437</c:v>
                </c:pt>
                <c:pt idx="10">
                  <c:v>0.3299776286353468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1D-428D-BA65-6198D26D8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833280"/>
        <c:axId val="1113819360"/>
      </c:scatterChart>
      <c:valAx>
        <c:axId val="11138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19360"/>
        <c:crosses val="autoZero"/>
        <c:crossBetween val="midCat"/>
      </c:valAx>
      <c:valAx>
        <c:axId val="11138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3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strRef>
              <c:f>Hoja1!$I$47</c:f>
              <c:strCache>
                <c:ptCount val="1"/>
                <c:pt idx="0">
                  <c:v>XC (W)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Hoja1!$D$48:$D$58</c:f>
              <c:numCache>
                <c:formatCode>General</c:formatCode>
                <c:ptCount val="11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</c:numCache>
            </c:numRef>
          </c:xVal>
          <c:yVal>
            <c:numRef>
              <c:f>Hoja1!$J$79:$J$89</c:f>
              <c:numCache>
                <c:formatCode>General</c:formatCode>
                <c:ptCount val="11"/>
                <c:pt idx="0">
                  <c:v>11.3</c:v>
                </c:pt>
                <c:pt idx="1">
                  <c:v>4.7083333333333339</c:v>
                </c:pt>
                <c:pt idx="2">
                  <c:v>2.513011152416357</c:v>
                </c:pt>
                <c:pt idx="3">
                  <c:v>1.2434944237918217</c:v>
                </c:pt>
                <c:pt idx="4">
                  <c:v>0.50283400809716605</c:v>
                </c:pt>
                <c:pt idx="5">
                  <c:v>0.73107344632768356</c:v>
                </c:pt>
                <c:pt idx="6">
                  <c:v>1.2729007633587786</c:v>
                </c:pt>
                <c:pt idx="7">
                  <c:v>1.8016085790884717</c:v>
                </c:pt>
                <c:pt idx="8">
                  <c:v>2.2925170068027212</c:v>
                </c:pt>
                <c:pt idx="9">
                  <c:v>2.7663934426229511</c:v>
                </c:pt>
                <c:pt idx="10">
                  <c:v>3.2190476190476187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D8-4B53-834C-4E602C156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833280"/>
        <c:axId val="1113819360"/>
      </c:scatterChart>
      <c:valAx>
        <c:axId val="11138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19360"/>
        <c:crosses val="autoZero"/>
        <c:crossBetween val="midCat"/>
      </c:valAx>
      <c:valAx>
        <c:axId val="11138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3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Hoja1!$E$2</c:f>
              <c:strCache>
                <c:ptCount val="1"/>
                <c:pt idx="0">
                  <c:v>V1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Hoja1!$E$3:$E$13</c:f>
              <c:numCache>
                <c:formatCode>General</c:formatCode>
                <c:ptCount val="11"/>
                <c:pt idx="0">
                  <c:v>6.61</c:v>
                </c:pt>
                <c:pt idx="1">
                  <c:v>6.7</c:v>
                </c:pt>
                <c:pt idx="2">
                  <c:v>6.74</c:v>
                </c:pt>
                <c:pt idx="3">
                  <c:v>6.75</c:v>
                </c:pt>
                <c:pt idx="4">
                  <c:v>6.76</c:v>
                </c:pt>
                <c:pt idx="5">
                  <c:v>6.77</c:v>
                </c:pt>
                <c:pt idx="6">
                  <c:v>6.77</c:v>
                </c:pt>
                <c:pt idx="7">
                  <c:v>6.78</c:v>
                </c:pt>
                <c:pt idx="8">
                  <c:v>6.78</c:v>
                </c:pt>
                <c:pt idx="9">
                  <c:v>6.78</c:v>
                </c:pt>
                <c:pt idx="10">
                  <c:v>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B-4EEA-8992-077FE3D9F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570384"/>
        <c:axId val="1142560784"/>
      </c:lineChart>
      <c:catAx>
        <c:axId val="1142570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2560784"/>
        <c:crosses val="autoZero"/>
        <c:auto val="1"/>
        <c:lblAlgn val="ctr"/>
        <c:lblOffset val="100"/>
        <c:noMultiLvlLbl val="0"/>
      </c:catAx>
      <c:valAx>
        <c:axId val="114256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257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I(mA)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Hoja1!$H$3:$H$13</c:f>
              <c:numCache>
                <c:formatCode>General</c:formatCode>
                <c:ptCount val="11"/>
                <c:pt idx="0">
                  <c:v>4.45</c:v>
                </c:pt>
                <c:pt idx="1">
                  <c:v>3.1</c:v>
                </c:pt>
                <c:pt idx="2">
                  <c:v>2.31</c:v>
                </c:pt>
                <c:pt idx="3">
                  <c:v>1.83</c:v>
                </c:pt>
                <c:pt idx="4">
                  <c:v>1.5</c:v>
                </c:pt>
                <c:pt idx="5">
                  <c:v>1.28</c:v>
                </c:pt>
                <c:pt idx="6">
                  <c:v>1.1200000000000001</c:v>
                </c:pt>
                <c:pt idx="7">
                  <c:v>1</c:v>
                </c:pt>
                <c:pt idx="8">
                  <c:v>0.88</c:v>
                </c:pt>
                <c:pt idx="9">
                  <c:v>0.8</c:v>
                </c:pt>
                <c:pt idx="10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8-4034-97BB-6E775C64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560560"/>
        <c:axId val="1226564880"/>
      </c:lineChart>
      <c:catAx>
        <c:axId val="122656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6564880"/>
        <c:crosses val="autoZero"/>
        <c:auto val="1"/>
        <c:lblAlgn val="ctr"/>
        <c:lblOffset val="100"/>
        <c:noMultiLvlLbl val="0"/>
      </c:catAx>
      <c:valAx>
        <c:axId val="12265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656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Hoja1!$G$47</c:f>
              <c:strCache>
                <c:ptCount val="1"/>
                <c:pt idx="0">
                  <c:v>VC(v)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Hoja1!$G$48:$G$58</c:f>
              <c:numCache>
                <c:formatCode>General</c:formatCode>
                <c:ptCount val="11"/>
                <c:pt idx="0">
                  <c:v>6.2729999999999997</c:v>
                </c:pt>
                <c:pt idx="1">
                  <c:v>5.26</c:v>
                </c:pt>
                <c:pt idx="2">
                  <c:v>4.3</c:v>
                </c:pt>
                <c:pt idx="3">
                  <c:v>3.56</c:v>
                </c:pt>
                <c:pt idx="4">
                  <c:v>3</c:v>
                </c:pt>
                <c:pt idx="5">
                  <c:v>2.58</c:v>
                </c:pt>
                <c:pt idx="6">
                  <c:v>2.25</c:v>
                </c:pt>
                <c:pt idx="7">
                  <c:v>2</c:v>
                </c:pt>
                <c:pt idx="8">
                  <c:v>1.79</c:v>
                </c:pt>
                <c:pt idx="9">
                  <c:v>1.62</c:v>
                </c:pt>
                <c:pt idx="10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6-4BEF-9B3D-4723C75CD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843840"/>
        <c:axId val="1113844800"/>
      </c:lineChart>
      <c:catAx>
        <c:axId val="1113843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44800"/>
        <c:crosses val="autoZero"/>
        <c:auto val="1"/>
        <c:lblAlgn val="ctr"/>
        <c:lblOffset val="100"/>
        <c:noMultiLvlLbl val="0"/>
      </c:catAx>
      <c:valAx>
        <c:axId val="111384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4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Hoja1!$H$47</c:f>
              <c:strCache>
                <c:ptCount val="1"/>
                <c:pt idx="0">
                  <c:v>I (mA)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Hoja1!$H$48:$H$58</c:f>
              <c:numCache>
                <c:formatCode>General</c:formatCode>
                <c:ptCount val="11"/>
                <c:pt idx="0">
                  <c:v>6.83</c:v>
                </c:pt>
                <c:pt idx="1">
                  <c:v>11.63</c:v>
                </c:pt>
                <c:pt idx="2">
                  <c:v>14.26</c:v>
                </c:pt>
                <c:pt idx="3">
                  <c:v>15.7</c:v>
                </c:pt>
                <c:pt idx="4">
                  <c:v>16.53</c:v>
                </c:pt>
                <c:pt idx="5">
                  <c:v>17.04</c:v>
                </c:pt>
                <c:pt idx="6">
                  <c:v>17.350000000000001</c:v>
                </c:pt>
                <c:pt idx="7">
                  <c:v>17.57</c:v>
                </c:pt>
                <c:pt idx="8">
                  <c:v>17.71</c:v>
                </c:pt>
                <c:pt idx="9">
                  <c:v>17.809999999999999</c:v>
                </c:pt>
                <c:pt idx="10">
                  <c:v>17.88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7-4526-BE04-DC7031186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565104"/>
        <c:axId val="1142567504"/>
      </c:lineChart>
      <c:catAx>
        <c:axId val="1142565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2567504"/>
        <c:crosses val="autoZero"/>
        <c:auto val="1"/>
        <c:lblAlgn val="ctr"/>
        <c:lblOffset val="100"/>
        <c:noMultiLvlLbl val="0"/>
      </c:catAx>
      <c:valAx>
        <c:axId val="11425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256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Hoja1!$H$78</c:f>
              <c:strCache>
                <c:ptCount val="1"/>
                <c:pt idx="0">
                  <c:v>VC(v)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Hoja1!$H$79:$H$89</c:f>
              <c:numCache>
                <c:formatCode>General</c:formatCode>
                <c:ptCount val="11"/>
                <c:pt idx="0">
                  <c:v>7.01</c:v>
                </c:pt>
                <c:pt idx="1">
                  <c:v>7.82</c:v>
                </c:pt>
                <c:pt idx="2">
                  <c:v>9.7200000000000006</c:v>
                </c:pt>
                <c:pt idx="3">
                  <c:v>14.6</c:v>
                </c:pt>
                <c:pt idx="4">
                  <c:v>26.8</c:v>
                </c:pt>
                <c:pt idx="5">
                  <c:v>16</c:v>
                </c:pt>
                <c:pt idx="6">
                  <c:v>8.1199999999999992</c:v>
                </c:pt>
                <c:pt idx="7">
                  <c:v>5.0599999999999996</c:v>
                </c:pt>
                <c:pt idx="8">
                  <c:v>3.23</c:v>
                </c:pt>
                <c:pt idx="9">
                  <c:v>2.641</c:v>
                </c:pt>
                <c:pt idx="10">
                  <c:v>2.0680000000000001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8-454D-B585-BC4D1922D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588624"/>
        <c:axId val="1142590064"/>
      </c:lineChart>
      <c:catAx>
        <c:axId val="114258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2590064"/>
        <c:crosses val="autoZero"/>
        <c:auto val="1"/>
        <c:lblAlgn val="ctr"/>
        <c:lblOffset val="100"/>
        <c:noMultiLvlLbl val="0"/>
      </c:catAx>
      <c:valAx>
        <c:axId val="114259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258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Hoja1!$I$78</c:f>
              <c:strCache>
                <c:ptCount val="1"/>
                <c:pt idx="0">
                  <c:v>I (mA)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Hoja1!$I$79:$I$89</c:f>
              <c:numCache>
                <c:formatCode>General</c:formatCode>
                <c:ptCount val="11"/>
                <c:pt idx="0">
                  <c:v>0.6</c:v>
                </c:pt>
                <c:pt idx="1">
                  <c:v>1.44</c:v>
                </c:pt>
                <c:pt idx="2">
                  <c:v>2.69</c:v>
                </c:pt>
                <c:pt idx="3">
                  <c:v>5.38</c:v>
                </c:pt>
                <c:pt idx="4">
                  <c:v>12.35</c:v>
                </c:pt>
                <c:pt idx="5">
                  <c:v>8.85</c:v>
                </c:pt>
                <c:pt idx="6">
                  <c:v>5.24</c:v>
                </c:pt>
                <c:pt idx="7">
                  <c:v>3.73</c:v>
                </c:pt>
                <c:pt idx="8">
                  <c:v>2.94</c:v>
                </c:pt>
                <c:pt idx="9">
                  <c:v>2.44</c:v>
                </c:pt>
                <c:pt idx="10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08-4CEE-B08B-0CCBD292C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571824"/>
        <c:axId val="1142572304"/>
      </c:lineChart>
      <c:catAx>
        <c:axId val="1142571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2572304"/>
        <c:crosses val="autoZero"/>
        <c:auto val="1"/>
        <c:lblAlgn val="ctr"/>
        <c:lblOffset val="100"/>
        <c:noMultiLvlLbl val="0"/>
      </c:catAx>
      <c:valAx>
        <c:axId val="11425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257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strRef>
              <c:f>Hoja1!$J$2</c:f>
              <c:strCache>
                <c:ptCount val="1"/>
                <c:pt idx="0">
                  <c:v>Z(W)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Hoja1!$C$3:$C$13</c:f>
              <c:numCache>
                <c:formatCode>General</c:formatCode>
                <c:ptCount val="11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</c:numCache>
            </c:numRef>
          </c:xVal>
          <c:yVal>
            <c:numRef>
              <c:f>Hoja1!$I$116:$I$126</c:f>
              <c:numCache>
                <c:formatCode>General</c:formatCode>
                <c:ptCount val="11"/>
                <c:pt idx="0">
                  <c:v>0.24214285714285713</c:v>
                </c:pt>
                <c:pt idx="1">
                  <c:v>0.28727722772277231</c:v>
                </c:pt>
                <c:pt idx="2">
                  <c:v>0.30631578947368421</c:v>
                </c:pt>
                <c:pt idx="3">
                  <c:v>0.31089743589743596</c:v>
                </c:pt>
                <c:pt idx="4">
                  <c:v>0.31290322580645158</c:v>
                </c:pt>
                <c:pt idx="5">
                  <c:v>0.31307154384077462</c:v>
                </c:pt>
                <c:pt idx="6">
                  <c:v>0.31256713211600429</c:v>
                </c:pt>
                <c:pt idx="7">
                  <c:v>0.31173004820567757</c:v>
                </c:pt>
                <c:pt idx="8">
                  <c:v>0.31040000000000001</c:v>
                </c:pt>
                <c:pt idx="9">
                  <c:v>0.30858960763520682</c:v>
                </c:pt>
                <c:pt idx="10">
                  <c:v>0.30663856691253955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6B-4AE4-9BEE-3949D1D25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833280"/>
        <c:axId val="1113819360"/>
      </c:scatterChart>
      <c:valAx>
        <c:axId val="11138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19360"/>
        <c:crosses val="autoZero"/>
        <c:crossBetween val="midCat"/>
      </c:valAx>
      <c:valAx>
        <c:axId val="11138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1383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Vc 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Hoja1!$D$114</c:f>
              <c:strCache>
                <c:ptCount val="1"/>
                <c:pt idx="0">
                  <c:v>V1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Hoja1!$D$115:$D$126</c:f>
              <c:numCache>
                <c:formatCode>General</c:formatCode>
                <c:ptCount val="12"/>
                <c:pt idx="1">
                  <c:v>5.7629999999999999</c:v>
                </c:pt>
                <c:pt idx="2">
                  <c:v>5.8029999999999999</c:v>
                </c:pt>
                <c:pt idx="3">
                  <c:v>5.82</c:v>
                </c:pt>
                <c:pt idx="4">
                  <c:v>5.82</c:v>
                </c:pt>
                <c:pt idx="5">
                  <c:v>5.82</c:v>
                </c:pt>
                <c:pt idx="6">
                  <c:v>5.82</c:v>
                </c:pt>
                <c:pt idx="7">
                  <c:v>5.82</c:v>
                </c:pt>
                <c:pt idx="8">
                  <c:v>5.82</c:v>
                </c:pt>
                <c:pt idx="9">
                  <c:v>5.82</c:v>
                </c:pt>
                <c:pt idx="10">
                  <c:v>5.82</c:v>
                </c:pt>
                <c:pt idx="11">
                  <c:v>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5-4907-B183-D82894F17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311360"/>
        <c:axId val="1268320000"/>
      </c:lineChart>
      <c:catAx>
        <c:axId val="1268311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8320000"/>
        <c:crosses val="autoZero"/>
        <c:auto val="1"/>
        <c:lblAlgn val="ctr"/>
        <c:lblOffset val="100"/>
        <c:noMultiLvlLbl val="0"/>
      </c:catAx>
      <c:valAx>
        <c:axId val="126832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831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Hoja1!$F$114</c:f>
              <c:strCache>
                <c:ptCount val="1"/>
                <c:pt idx="0">
                  <c:v>IC (mA)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Hoja1!$F$115:$F$126</c:f>
              <c:numCache>
                <c:formatCode>General</c:formatCode>
                <c:ptCount val="12"/>
                <c:pt idx="1">
                  <c:v>0.64</c:v>
                </c:pt>
                <c:pt idx="2">
                  <c:v>1.07</c:v>
                </c:pt>
                <c:pt idx="3">
                  <c:v>1.61</c:v>
                </c:pt>
                <c:pt idx="4">
                  <c:v>2.15</c:v>
                </c:pt>
                <c:pt idx="5">
                  <c:v>2.67</c:v>
                </c:pt>
                <c:pt idx="6">
                  <c:v>3.2</c:v>
                </c:pt>
                <c:pt idx="7">
                  <c:v>3.75</c:v>
                </c:pt>
                <c:pt idx="8">
                  <c:v>4.2699999999999996</c:v>
                </c:pt>
                <c:pt idx="9">
                  <c:v>4.8099999999999996</c:v>
                </c:pt>
                <c:pt idx="10">
                  <c:v>5.33</c:v>
                </c:pt>
                <c:pt idx="11">
                  <c:v>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D4-4936-BCA8-46D993AB9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292640"/>
        <c:axId val="1268309440"/>
      </c:lineChart>
      <c:catAx>
        <c:axId val="126829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8309440"/>
        <c:crosses val="autoZero"/>
        <c:auto val="1"/>
        <c:lblAlgn val="ctr"/>
        <c:lblOffset val="100"/>
        <c:noMultiLvlLbl val="0"/>
      </c:catAx>
      <c:valAx>
        <c:axId val="12683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829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14</xdr:row>
      <xdr:rowOff>33337</xdr:rowOff>
    </xdr:from>
    <xdr:to>
      <xdr:col>6</xdr:col>
      <xdr:colOff>676275</xdr:colOff>
      <xdr:row>26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903B24-E312-CA7F-438E-8E4A1082A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85725</xdr:colOff>
      <xdr:row>29</xdr:row>
      <xdr:rowOff>38100</xdr:rowOff>
    </xdr:from>
    <xdr:to>
      <xdr:col>6</xdr:col>
      <xdr:colOff>581025</xdr:colOff>
      <xdr:row>41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0FAF1F-6B7B-4755-B37A-5D36B5AE5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695325</xdr:colOff>
      <xdr:row>59</xdr:row>
      <xdr:rowOff>142875</xdr:rowOff>
    </xdr:from>
    <xdr:to>
      <xdr:col>6</xdr:col>
      <xdr:colOff>428625</xdr:colOff>
      <xdr:row>74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1F42B3B-C1AA-4150-8725-D99168773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600075</xdr:colOff>
      <xdr:row>59</xdr:row>
      <xdr:rowOff>123825</xdr:rowOff>
    </xdr:from>
    <xdr:to>
      <xdr:col>12</xdr:col>
      <xdr:colOff>161925</xdr:colOff>
      <xdr:row>74</xdr:row>
      <xdr:rowOff>9525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931E794-0A60-4986-9435-D27F8802A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91</xdr:row>
      <xdr:rowOff>0</xdr:rowOff>
    </xdr:from>
    <xdr:to>
      <xdr:col>6</xdr:col>
      <xdr:colOff>495300</xdr:colOff>
      <xdr:row>105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9CD950A-F6A8-4015-B2B3-8D2FEC1BF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55378</xdr:colOff>
      <xdr:row>14</xdr:row>
      <xdr:rowOff>0</xdr:rowOff>
    </xdr:from>
    <xdr:to>
      <xdr:col>10</xdr:col>
      <xdr:colOff>752032</xdr:colOff>
      <xdr:row>25</xdr:row>
      <xdr:rowOff>36991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4DC6791-BDDB-A431-1C36-7589D2D5C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121830</xdr:colOff>
      <xdr:row>29</xdr:row>
      <xdr:rowOff>33227</xdr:rowOff>
    </xdr:from>
    <xdr:to>
      <xdr:col>11</xdr:col>
      <xdr:colOff>231478</xdr:colOff>
      <xdr:row>39</xdr:row>
      <xdr:rowOff>180974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7377FAF-3A26-862A-A5DB-18A1973EE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289072</xdr:colOff>
      <xdr:row>46</xdr:row>
      <xdr:rowOff>99679</xdr:rowOff>
    </xdr:from>
    <xdr:to>
      <xdr:col>14</xdr:col>
      <xdr:colOff>719912</xdr:colOff>
      <xdr:row>52</xdr:row>
      <xdr:rowOff>192048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9BE747B-C55B-A9AC-C6EA-47C74DE28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188285</xdr:colOff>
      <xdr:row>54</xdr:row>
      <xdr:rowOff>66452</xdr:rowOff>
    </xdr:from>
    <xdr:to>
      <xdr:col>16</xdr:col>
      <xdr:colOff>475142</xdr:colOff>
      <xdr:row>66</xdr:row>
      <xdr:rowOff>147746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362AD78-BB12-B56D-06D5-6C73C7E92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631307</xdr:colOff>
      <xdr:row>90</xdr:row>
      <xdr:rowOff>155059</xdr:rowOff>
    </xdr:from>
    <xdr:to>
      <xdr:col>10</xdr:col>
      <xdr:colOff>109648</xdr:colOff>
      <xdr:row>101</xdr:row>
      <xdr:rowOff>136673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DBF6D9A-F6D4-E092-5296-53E3423BC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310115</xdr:colOff>
      <xdr:row>90</xdr:row>
      <xdr:rowOff>132906</xdr:rowOff>
    </xdr:from>
    <xdr:to>
      <xdr:col>14</xdr:col>
      <xdr:colOff>87495</xdr:colOff>
      <xdr:row>101</xdr:row>
      <xdr:rowOff>136671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E3AD0D3-BF1A-A5DA-D227-1D82B430C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0</xdr:colOff>
      <xdr:row>127</xdr:row>
      <xdr:rowOff>0</xdr:rowOff>
    </xdr:from>
    <xdr:to>
      <xdr:col>7</xdr:col>
      <xdr:colOff>761114</xdr:colOff>
      <xdr:row>139</xdr:row>
      <xdr:rowOff>163475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E0522F31-2D2D-4A5A-92F6-1390F37D5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12183</xdr:colOff>
      <xdr:row>133</xdr:row>
      <xdr:rowOff>7311</xdr:rowOff>
    </xdr:from>
    <xdr:to>
      <xdr:col>9</xdr:col>
      <xdr:colOff>386537</xdr:colOff>
      <xdr:row>147</xdr:row>
      <xdr:rowOff>114522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EC75B05C-B396-A4BA-6091-B7895DFD8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78637</xdr:colOff>
      <xdr:row>148</xdr:row>
      <xdr:rowOff>151291</xdr:rowOff>
    </xdr:from>
    <xdr:to>
      <xdr:col>8</xdr:col>
      <xdr:colOff>641276</xdr:colOff>
      <xdr:row>163</xdr:row>
      <xdr:rowOff>70218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739C1A7-539C-F6E1-AA89-FB1949F15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EB0B-E531-4532-895D-570CC0225B60}">
  <dimension ref="A1:J127"/>
  <sheetViews>
    <sheetView tabSelected="1" topLeftCell="A67" zoomScale="86" zoomScaleNormal="86" workbookViewId="0">
      <selection activeCell="I129" sqref="I129"/>
    </sheetView>
  </sheetViews>
  <sheetFormatPr baseColWidth="10" defaultRowHeight="14"/>
  <cols>
    <col min="2" max="2" width="15.4140625" customWidth="1"/>
    <col min="4" max="4" width="12" bestFit="1" customWidth="1"/>
    <col min="5" max="5" width="13.75" bestFit="1" customWidth="1"/>
    <col min="9" max="10" width="14.75" bestFit="1" customWidth="1"/>
  </cols>
  <sheetData>
    <row r="1" spans="2:10" ht="14.5" thickBot="1"/>
    <row r="2" spans="2:10" ht="47" thickBot="1">
      <c r="B2" s="1" t="s">
        <v>0</v>
      </c>
      <c r="C2" s="2" t="s">
        <v>1</v>
      </c>
      <c r="D2" s="2" t="s">
        <v>2</v>
      </c>
      <c r="E2" s="2" t="s">
        <v>3</v>
      </c>
      <c r="F2" s="2" t="s">
        <v>8</v>
      </c>
      <c r="G2" s="2" t="s">
        <v>9</v>
      </c>
      <c r="H2" s="2" t="s">
        <v>5</v>
      </c>
      <c r="I2" s="2" t="s">
        <v>6</v>
      </c>
      <c r="J2" s="2" t="s">
        <v>7</v>
      </c>
    </row>
    <row r="3" spans="2:10" ht="16" thickBot="1">
      <c r="B3" s="3">
        <v>1</v>
      </c>
      <c r="C3" s="4">
        <v>60</v>
      </c>
      <c r="D3" s="4">
        <v>60</v>
      </c>
      <c r="E3" s="5">
        <v>6.61</v>
      </c>
      <c r="F3" s="5">
        <v>4.0389999999999997</v>
      </c>
      <c r="G3" s="5">
        <v>4.8250000000000002</v>
      </c>
      <c r="H3" s="5">
        <v>4.45</v>
      </c>
      <c r="I3" s="5">
        <f>F3/H3</f>
        <v>0.9076404494382021</v>
      </c>
      <c r="J3" s="5">
        <f>E3/H3</f>
        <v>1.4853932584269662</v>
      </c>
    </row>
    <row r="4" spans="2:10" ht="16" thickBot="1">
      <c r="B4" s="3">
        <v>2</v>
      </c>
      <c r="C4" s="4">
        <v>120</v>
      </c>
      <c r="D4" s="4">
        <v>120</v>
      </c>
      <c r="E4" s="5">
        <v>6.7</v>
      </c>
      <c r="F4" s="5">
        <v>5.51</v>
      </c>
      <c r="G4" s="5">
        <v>3.375</v>
      </c>
      <c r="H4" s="5">
        <v>3.1</v>
      </c>
      <c r="I4" s="5">
        <f t="shared" ref="I4:I13" si="0">F4/H4</f>
        <v>1.7774193548387096</v>
      </c>
      <c r="J4" s="5">
        <f t="shared" ref="J4:J13" si="1">E4/H4</f>
        <v>2.161290322580645</v>
      </c>
    </row>
    <row r="5" spans="2:10" ht="16" thickBot="1">
      <c r="B5" s="3">
        <v>3</v>
      </c>
      <c r="C5" s="4">
        <v>180</v>
      </c>
      <c r="D5" s="4">
        <v>180</v>
      </c>
      <c r="E5" s="5">
        <v>6.74</v>
      </c>
      <c r="F5" s="5">
        <v>6.0510000000000002</v>
      </c>
      <c r="G5" s="5">
        <v>2.5139999999999998</v>
      </c>
      <c r="H5" s="5">
        <v>2.31</v>
      </c>
      <c r="I5" s="5">
        <f t="shared" si="0"/>
        <v>2.6194805194805193</v>
      </c>
      <c r="J5" s="5">
        <f t="shared" si="1"/>
        <v>2.9177489177489178</v>
      </c>
    </row>
    <row r="6" spans="2:10" ht="16" thickBot="1">
      <c r="B6" s="3">
        <v>4</v>
      </c>
      <c r="C6" s="4">
        <v>240</v>
      </c>
      <c r="D6" s="4">
        <v>240</v>
      </c>
      <c r="E6" s="5">
        <v>6.75</v>
      </c>
      <c r="F6" s="5">
        <v>6.2960000000000003</v>
      </c>
      <c r="G6" s="5">
        <v>1.99</v>
      </c>
      <c r="H6" s="5">
        <v>1.83</v>
      </c>
      <c r="I6" s="5">
        <f t="shared" si="0"/>
        <v>3.4404371584699454</v>
      </c>
      <c r="J6" s="5">
        <f t="shared" si="1"/>
        <v>3.6885245901639343</v>
      </c>
    </row>
    <row r="7" spans="2:10" ht="16" thickBot="1">
      <c r="B7" s="3">
        <v>5</v>
      </c>
      <c r="C7" s="4">
        <v>300</v>
      </c>
      <c r="D7" s="4">
        <v>300</v>
      </c>
      <c r="E7" s="5">
        <v>6.76</v>
      </c>
      <c r="F7" s="5">
        <v>6.4260000000000002</v>
      </c>
      <c r="G7" s="5">
        <v>1.6459999999999999</v>
      </c>
      <c r="H7" s="5">
        <v>1.5</v>
      </c>
      <c r="I7" s="5">
        <f t="shared" si="0"/>
        <v>4.2839999999999998</v>
      </c>
      <c r="J7" s="5">
        <f t="shared" si="1"/>
        <v>4.5066666666666668</v>
      </c>
    </row>
    <row r="8" spans="2:10" ht="16" thickBot="1">
      <c r="B8" s="3">
        <v>6</v>
      </c>
      <c r="C8" s="4">
        <v>360</v>
      </c>
      <c r="D8" s="4">
        <v>360</v>
      </c>
      <c r="E8" s="5">
        <v>6.77</v>
      </c>
      <c r="F8" s="5">
        <v>6.5039999999999996</v>
      </c>
      <c r="G8" s="5">
        <v>1.4019999999999999</v>
      </c>
      <c r="H8" s="5">
        <v>1.28</v>
      </c>
      <c r="I8" s="5">
        <f t="shared" si="0"/>
        <v>5.0812499999999998</v>
      </c>
      <c r="J8" s="5">
        <f t="shared" si="1"/>
        <v>5.2890625</v>
      </c>
    </row>
    <row r="9" spans="2:10" ht="16" thickBot="1">
      <c r="B9" s="3">
        <v>7</v>
      </c>
      <c r="C9" s="4">
        <v>420</v>
      </c>
      <c r="D9" s="4">
        <v>420</v>
      </c>
      <c r="E9" s="5">
        <v>6.77</v>
      </c>
      <c r="F9" s="5">
        <v>6.5549999999999997</v>
      </c>
      <c r="G9" s="5">
        <v>1.2230000000000001</v>
      </c>
      <c r="H9" s="5">
        <v>1.1200000000000001</v>
      </c>
      <c r="I9" s="5">
        <f t="shared" si="0"/>
        <v>5.8526785714285703</v>
      </c>
      <c r="J9" s="5">
        <f t="shared" si="1"/>
        <v>6.0446428571428559</v>
      </c>
    </row>
    <row r="10" spans="2:10" ht="16" thickBot="1">
      <c r="B10" s="3">
        <v>8</v>
      </c>
      <c r="C10" s="4">
        <v>480</v>
      </c>
      <c r="D10" s="4">
        <v>480</v>
      </c>
      <c r="E10" s="5">
        <v>6.78</v>
      </c>
      <c r="F10" s="5">
        <v>6.59</v>
      </c>
      <c r="G10" s="5">
        <v>1.083</v>
      </c>
      <c r="H10" s="5">
        <v>1</v>
      </c>
      <c r="I10" s="5">
        <f t="shared" si="0"/>
        <v>6.59</v>
      </c>
      <c r="J10" s="5">
        <f t="shared" si="1"/>
        <v>6.78</v>
      </c>
    </row>
    <row r="11" spans="2:10" ht="16" thickBot="1">
      <c r="B11" s="3">
        <v>9</v>
      </c>
      <c r="C11" s="4">
        <v>540</v>
      </c>
      <c r="D11" s="4">
        <v>540</v>
      </c>
      <c r="E11" s="5">
        <v>6.78</v>
      </c>
      <c r="F11" s="5">
        <v>6.61</v>
      </c>
      <c r="G11" s="5">
        <v>0.97299999999999998</v>
      </c>
      <c r="H11" s="5">
        <v>0.88</v>
      </c>
      <c r="I11" s="5">
        <f t="shared" si="0"/>
        <v>7.5113636363636367</v>
      </c>
      <c r="J11" s="5">
        <f t="shared" si="1"/>
        <v>7.704545454545455</v>
      </c>
    </row>
    <row r="12" spans="2:10" ht="16" thickBot="1">
      <c r="B12" s="6">
        <v>10</v>
      </c>
      <c r="C12" s="7">
        <v>600</v>
      </c>
      <c r="D12" s="7">
        <v>600</v>
      </c>
      <c r="E12" s="8">
        <v>6.78</v>
      </c>
      <c r="F12" s="8">
        <v>6.63</v>
      </c>
      <c r="G12" s="8">
        <v>0.88300000000000001</v>
      </c>
      <c r="H12" s="8">
        <v>0.8</v>
      </c>
      <c r="I12" s="5">
        <f t="shared" si="0"/>
        <v>8.2874999999999996</v>
      </c>
      <c r="J12" s="5">
        <f t="shared" si="1"/>
        <v>8.4749999999999996</v>
      </c>
    </row>
    <row r="13" spans="2:10" ht="16" thickBot="1">
      <c r="B13" s="9">
        <v>11</v>
      </c>
      <c r="C13" s="9">
        <v>660</v>
      </c>
      <c r="D13" s="9">
        <v>660</v>
      </c>
      <c r="E13" s="10">
        <v>6.78</v>
      </c>
      <c r="F13" s="10">
        <v>6.64</v>
      </c>
      <c r="G13" s="10">
        <v>0.80700000000000005</v>
      </c>
      <c r="H13" s="10">
        <v>0.73</v>
      </c>
      <c r="I13" s="5">
        <f t="shared" si="0"/>
        <v>9.0958904109589032</v>
      </c>
      <c r="J13" s="5">
        <f t="shared" si="1"/>
        <v>9.287671232876713</v>
      </c>
    </row>
    <row r="16" spans="2:10">
      <c r="B16" s="13"/>
    </row>
    <row r="17" spans="2:2" ht="15.5">
      <c r="B17" s="14"/>
    </row>
    <row r="18" spans="2:2">
      <c r="B18" s="15"/>
    </row>
    <row r="19" spans="2:2">
      <c r="B19" s="15"/>
    </row>
    <row r="20" spans="2:2">
      <c r="B20" s="15"/>
    </row>
    <row r="21" spans="2:2">
      <c r="B21" s="15"/>
    </row>
    <row r="22" spans="2:2">
      <c r="B22" s="15"/>
    </row>
    <row r="23" spans="2:2">
      <c r="B23" s="15"/>
    </row>
    <row r="24" spans="2:2">
      <c r="B24" s="15"/>
    </row>
    <row r="25" spans="2:2">
      <c r="B25" s="15"/>
    </row>
    <row r="26" spans="2:2">
      <c r="B26" s="15"/>
    </row>
    <row r="27" spans="2:2">
      <c r="B27" s="15"/>
    </row>
    <row r="28" spans="2:2">
      <c r="B28" s="16"/>
    </row>
    <row r="29" spans="2:2">
      <c r="B29" s="13"/>
    </row>
    <row r="30" spans="2:2">
      <c r="B30" s="13"/>
    </row>
    <row r="31" spans="2:2">
      <c r="B31" s="13"/>
    </row>
    <row r="32" spans="2:2" ht="15.5">
      <c r="B32" s="14"/>
    </row>
    <row r="33" spans="2:10">
      <c r="B33" s="15"/>
    </row>
    <row r="34" spans="2:10">
      <c r="B34" s="15"/>
    </row>
    <row r="35" spans="2:10">
      <c r="B35" s="15"/>
    </row>
    <row r="36" spans="2:10">
      <c r="B36" s="15"/>
    </row>
    <row r="37" spans="2:10">
      <c r="B37" s="15"/>
    </row>
    <row r="38" spans="2:10">
      <c r="B38" s="15"/>
    </row>
    <row r="39" spans="2:10">
      <c r="B39" s="15"/>
    </row>
    <row r="40" spans="2:10">
      <c r="B40" s="15"/>
    </row>
    <row r="41" spans="2:10">
      <c r="B41" s="15"/>
    </row>
    <row r="42" spans="2:10">
      <c r="B42" s="15"/>
    </row>
    <row r="43" spans="2:10">
      <c r="B43" s="16"/>
    </row>
    <row r="44" spans="2:10">
      <c r="B44" s="13"/>
    </row>
    <row r="46" spans="2:10" ht="14.5" thickBot="1"/>
    <row r="47" spans="2:10" ht="47" thickBot="1">
      <c r="B47" s="1" t="s">
        <v>0</v>
      </c>
      <c r="C47" s="2" t="s">
        <v>1</v>
      </c>
      <c r="D47" s="2" t="s">
        <v>2</v>
      </c>
      <c r="E47" s="2" t="s">
        <v>3</v>
      </c>
      <c r="F47" s="2" t="s">
        <v>4</v>
      </c>
      <c r="G47" s="2" t="s">
        <v>13</v>
      </c>
      <c r="H47" s="2" t="s">
        <v>5</v>
      </c>
      <c r="I47" s="2" t="s">
        <v>14</v>
      </c>
      <c r="J47" s="2" t="s">
        <v>7</v>
      </c>
    </row>
    <row r="48" spans="2:10" ht="16" thickBot="1">
      <c r="B48" s="3">
        <v>1</v>
      </c>
      <c r="C48" s="4">
        <v>60</v>
      </c>
      <c r="D48" s="4">
        <v>60</v>
      </c>
      <c r="E48" s="5">
        <v>6.66</v>
      </c>
      <c r="F48" s="5">
        <v>2.1930000000000001</v>
      </c>
      <c r="G48" s="5">
        <v>6.2729999999999997</v>
      </c>
      <c r="H48" s="5">
        <v>6.83</v>
      </c>
      <c r="I48" s="5">
        <f>G48/H48</f>
        <v>0.91844802342606147</v>
      </c>
      <c r="J48" s="5">
        <f>E48/H48</f>
        <v>0.97510980966325034</v>
      </c>
    </row>
    <row r="49" spans="2:10" ht="16" thickBot="1">
      <c r="B49" s="3">
        <v>2</v>
      </c>
      <c r="C49" s="4">
        <v>120</v>
      </c>
      <c r="D49" s="4">
        <v>120</v>
      </c>
      <c r="E49" s="5">
        <v>6.44</v>
      </c>
      <c r="F49" s="5">
        <v>3.67</v>
      </c>
      <c r="G49" s="5">
        <v>5.26</v>
      </c>
      <c r="H49" s="5">
        <v>11.63</v>
      </c>
      <c r="I49" s="5">
        <f t="shared" ref="I49:I58" si="2">G49/H49</f>
        <v>0.45227858985382624</v>
      </c>
      <c r="J49" s="5">
        <f t="shared" ref="J49:J58" si="3">E49/H49</f>
        <v>0.55374032674118656</v>
      </c>
    </row>
    <row r="50" spans="2:10" ht="16" thickBot="1">
      <c r="B50" s="3">
        <v>3</v>
      </c>
      <c r="C50" s="4">
        <v>180</v>
      </c>
      <c r="D50" s="4">
        <v>180</v>
      </c>
      <c r="E50" s="5">
        <v>6.25</v>
      </c>
      <c r="F50" s="5">
        <v>4.51</v>
      </c>
      <c r="G50" s="5">
        <v>4.3</v>
      </c>
      <c r="H50" s="5">
        <v>14.26</v>
      </c>
      <c r="I50" s="5">
        <f t="shared" si="2"/>
        <v>0.30154277699859749</v>
      </c>
      <c r="J50" s="5">
        <f t="shared" si="3"/>
        <v>0.43828892005610098</v>
      </c>
    </row>
    <row r="51" spans="2:10" ht="16" thickBot="1">
      <c r="B51" s="3">
        <v>4</v>
      </c>
      <c r="C51" s="4">
        <v>240</v>
      </c>
      <c r="D51" s="4">
        <v>240</v>
      </c>
      <c r="E51" s="5">
        <v>6.13</v>
      </c>
      <c r="F51" s="5">
        <v>4.97</v>
      </c>
      <c r="G51" s="5">
        <v>3.56</v>
      </c>
      <c r="H51" s="5">
        <v>15.7</v>
      </c>
      <c r="I51" s="5">
        <f t="shared" si="2"/>
        <v>0.2267515923566879</v>
      </c>
      <c r="J51" s="5">
        <f t="shared" si="3"/>
        <v>0.39044585987261149</v>
      </c>
    </row>
    <row r="52" spans="2:10" ht="16" thickBot="1">
      <c r="B52" s="3">
        <v>5</v>
      </c>
      <c r="C52" s="4">
        <v>300</v>
      </c>
      <c r="D52" s="4">
        <v>300</v>
      </c>
      <c r="E52" s="5">
        <v>6.05</v>
      </c>
      <c r="F52" s="5">
        <v>5.24</v>
      </c>
      <c r="G52" s="5">
        <v>3</v>
      </c>
      <c r="H52" s="5">
        <v>16.53</v>
      </c>
      <c r="I52" s="5">
        <f t="shared" si="2"/>
        <v>0.18148820326678763</v>
      </c>
      <c r="J52" s="5">
        <f t="shared" si="3"/>
        <v>0.3660012099213551</v>
      </c>
    </row>
    <row r="53" spans="2:10" ht="16" thickBot="1">
      <c r="B53" s="3">
        <v>6</v>
      </c>
      <c r="C53" s="4">
        <v>360</v>
      </c>
      <c r="D53" s="4">
        <v>360</v>
      </c>
      <c r="E53" s="5">
        <v>6</v>
      </c>
      <c r="F53" s="5">
        <v>5.41</v>
      </c>
      <c r="G53" s="5">
        <v>2.58</v>
      </c>
      <c r="H53" s="5">
        <v>17.04</v>
      </c>
      <c r="I53" s="5">
        <f t="shared" si="2"/>
        <v>0.15140845070422537</v>
      </c>
      <c r="J53" s="5">
        <f t="shared" si="3"/>
        <v>0.35211267605633806</v>
      </c>
    </row>
    <row r="54" spans="2:10" ht="16" thickBot="1">
      <c r="B54" s="3">
        <v>7</v>
      </c>
      <c r="C54" s="4">
        <v>420</v>
      </c>
      <c r="D54" s="4">
        <v>420</v>
      </c>
      <c r="E54" s="5">
        <v>5.97</v>
      </c>
      <c r="F54" s="5">
        <v>5.52</v>
      </c>
      <c r="G54" s="5">
        <v>2.25</v>
      </c>
      <c r="H54" s="5">
        <v>17.350000000000001</v>
      </c>
      <c r="I54" s="5">
        <f t="shared" si="2"/>
        <v>0.12968299711815562</v>
      </c>
      <c r="J54" s="5">
        <f t="shared" si="3"/>
        <v>0.3440922190201729</v>
      </c>
    </row>
    <row r="55" spans="2:10" ht="16" thickBot="1">
      <c r="B55" s="3">
        <v>8</v>
      </c>
      <c r="C55" s="4">
        <v>480</v>
      </c>
      <c r="D55" s="4">
        <v>480</v>
      </c>
      <c r="E55" s="5">
        <v>5.94</v>
      </c>
      <c r="F55" s="5">
        <v>5.59</v>
      </c>
      <c r="G55" s="5">
        <v>2</v>
      </c>
      <c r="H55" s="5">
        <v>17.57</v>
      </c>
      <c r="I55" s="5">
        <f t="shared" si="2"/>
        <v>0.11383039271485486</v>
      </c>
      <c r="J55" s="5">
        <f t="shared" si="3"/>
        <v>0.33807626636311899</v>
      </c>
    </row>
    <row r="56" spans="2:10" ht="16" thickBot="1">
      <c r="B56" s="3">
        <v>9</v>
      </c>
      <c r="C56" s="4">
        <v>540</v>
      </c>
      <c r="D56" s="4">
        <v>540</v>
      </c>
      <c r="E56" s="5">
        <v>5.93</v>
      </c>
      <c r="F56" s="5">
        <v>5.64</v>
      </c>
      <c r="G56" s="5">
        <v>1.79</v>
      </c>
      <c r="H56" s="5">
        <v>17.71</v>
      </c>
      <c r="I56" s="5">
        <f t="shared" si="2"/>
        <v>0.10107284020327498</v>
      </c>
      <c r="J56" s="5">
        <f t="shared" si="3"/>
        <v>0.33483907396950874</v>
      </c>
    </row>
    <row r="57" spans="2:10" ht="16" thickBot="1">
      <c r="B57" s="3">
        <v>10</v>
      </c>
      <c r="C57" s="4">
        <v>600</v>
      </c>
      <c r="D57" s="4">
        <v>600</v>
      </c>
      <c r="E57" s="5">
        <v>5.91</v>
      </c>
      <c r="F57" s="5">
        <v>5.68</v>
      </c>
      <c r="G57" s="5">
        <v>1.62</v>
      </c>
      <c r="H57" s="5">
        <v>17.809999999999999</v>
      </c>
      <c r="I57" s="5">
        <f t="shared" si="2"/>
        <v>9.0960134755755206E-2</v>
      </c>
      <c r="J57" s="5">
        <f t="shared" si="3"/>
        <v>0.33183604716451437</v>
      </c>
    </row>
    <row r="58" spans="2:10" ht="16" thickBot="1">
      <c r="B58" s="3">
        <v>11</v>
      </c>
      <c r="C58" s="4">
        <v>660</v>
      </c>
      <c r="D58" s="4">
        <v>660</v>
      </c>
      <c r="E58" s="5">
        <v>5.9</v>
      </c>
      <c r="F58" s="5">
        <v>5.71</v>
      </c>
      <c r="G58" s="5">
        <v>1.48</v>
      </c>
      <c r="H58" s="5">
        <v>17.88</v>
      </c>
      <c r="I58" s="5">
        <f t="shared" si="2"/>
        <v>8.2774049217002238E-2</v>
      </c>
      <c r="J58" s="5">
        <f t="shared" si="3"/>
        <v>0.3299776286353468</v>
      </c>
    </row>
    <row r="77" spans="2:10" ht="14.5" thickBot="1"/>
    <row r="78" spans="2:10" ht="47" thickBot="1">
      <c r="B78" s="11" t="s">
        <v>0</v>
      </c>
      <c r="C78" s="12" t="s">
        <v>1</v>
      </c>
      <c r="D78" s="12" t="s">
        <v>2</v>
      </c>
      <c r="E78" s="12" t="s">
        <v>3</v>
      </c>
      <c r="F78" s="12" t="s">
        <v>4</v>
      </c>
      <c r="G78" s="12" t="s">
        <v>10</v>
      </c>
      <c r="H78" s="12" t="s">
        <v>11</v>
      </c>
      <c r="I78" s="12" t="s">
        <v>5</v>
      </c>
      <c r="J78" s="12" t="s">
        <v>12</v>
      </c>
    </row>
    <row r="79" spans="2:10" ht="16" thickBot="1">
      <c r="B79" s="3">
        <v>1</v>
      </c>
      <c r="C79" s="4">
        <v>60</v>
      </c>
      <c r="D79" s="4">
        <v>60</v>
      </c>
      <c r="E79" s="5">
        <v>6.78</v>
      </c>
      <c r="F79" s="5">
        <v>0.21</v>
      </c>
      <c r="G79" s="5">
        <v>0.24</v>
      </c>
      <c r="H79" s="5">
        <v>7.01</v>
      </c>
      <c r="I79" s="5">
        <v>0.6</v>
      </c>
      <c r="J79" s="5">
        <f>E79/I79</f>
        <v>11.3</v>
      </c>
    </row>
    <row r="80" spans="2:10" ht="16" thickBot="1">
      <c r="B80" s="3">
        <v>2</v>
      </c>
      <c r="C80" s="4">
        <v>120</v>
      </c>
      <c r="D80" s="4">
        <v>120</v>
      </c>
      <c r="E80" s="5">
        <v>6.78</v>
      </c>
      <c r="F80" s="5">
        <v>0.45</v>
      </c>
      <c r="G80" s="5">
        <v>1.0680000000000001</v>
      </c>
      <c r="H80" s="5">
        <v>7.82</v>
      </c>
      <c r="I80" s="5">
        <v>1.44</v>
      </c>
      <c r="J80" s="5">
        <f t="shared" ref="J80:J89" si="4">E80/I80</f>
        <v>4.7083333333333339</v>
      </c>
    </row>
    <row r="81" spans="2:10" ht="16" thickBot="1">
      <c r="B81" s="3">
        <v>3</v>
      </c>
      <c r="C81" s="4">
        <v>180</v>
      </c>
      <c r="D81" s="4">
        <v>180</v>
      </c>
      <c r="E81" s="5">
        <v>6.76</v>
      </c>
      <c r="F81" s="5">
        <v>0.85199999999999998</v>
      </c>
      <c r="G81" s="5">
        <v>3.052</v>
      </c>
      <c r="H81" s="5">
        <v>9.7200000000000006</v>
      </c>
      <c r="I81" s="5">
        <v>2.69</v>
      </c>
      <c r="J81" s="5">
        <f t="shared" si="4"/>
        <v>2.513011152416357</v>
      </c>
    </row>
    <row r="82" spans="2:10" ht="16" thickBot="1">
      <c r="B82" s="3">
        <v>4</v>
      </c>
      <c r="C82" s="4">
        <v>240</v>
      </c>
      <c r="D82" s="4">
        <v>240</v>
      </c>
      <c r="E82" s="5">
        <v>6.69</v>
      </c>
      <c r="F82" s="5">
        <v>1.702</v>
      </c>
      <c r="G82" s="5">
        <v>8.32</v>
      </c>
      <c r="H82" s="5">
        <v>14.6</v>
      </c>
      <c r="I82" s="5">
        <v>5.38</v>
      </c>
      <c r="J82" s="5">
        <f t="shared" si="4"/>
        <v>1.2434944237918217</v>
      </c>
    </row>
    <row r="83" spans="2:10" ht="16" thickBot="1">
      <c r="B83" s="3">
        <v>5</v>
      </c>
      <c r="C83" s="4">
        <v>300</v>
      </c>
      <c r="D83" s="4">
        <v>300</v>
      </c>
      <c r="E83" s="5">
        <v>6.21</v>
      </c>
      <c r="F83" s="5">
        <v>3.903</v>
      </c>
      <c r="G83" s="5">
        <v>24.31</v>
      </c>
      <c r="H83" s="5">
        <v>26.8</v>
      </c>
      <c r="I83" s="5">
        <v>12.35</v>
      </c>
      <c r="J83" s="5">
        <f t="shared" si="4"/>
        <v>0.50283400809716605</v>
      </c>
    </row>
    <row r="84" spans="2:10" ht="16" thickBot="1">
      <c r="B84" s="3">
        <v>6</v>
      </c>
      <c r="C84" s="4">
        <v>360</v>
      </c>
      <c r="D84" s="4">
        <v>360</v>
      </c>
      <c r="E84" s="5">
        <v>6.47</v>
      </c>
      <c r="F84" s="5">
        <v>2.794</v>
      </c>
      <c r="G84" s="5">
        <v>20.72</v>
      </c>
      <c r="H84" s="5">
        <v>16</v>
      </c>
      <c r="I84" s="5">
        <v>8.85</v>
      </c>
      <c r="J84" s="5">
        <f t="shared" si="4"/>
        <v>0.73107344632768356</v>
      </c>
    </row>
    <row r="85" spans="2:10" ht="16" thickBot="1">
      <c r="B85" s="3">
        <v>7</v>
      </c>
      <c r="C85" s="4">
        <v>420</v>
      </c>
      <c r="D85" s="4">
        <v>420</v>
      </c>
      <c r="E85" s="5">
        <v>6.67</v>
      </c>
      <c r="F85" s="5">
        <v>1.66</v>
      </c>
      <c r="G85" s="5">
        <v>14.15</v>
      </c>
      <c r="H85" s="5">
        <v>8.1199999999999992</v>
      </c>
      <c r="I85" s="5">
        <v>5.24</v>
      </c>
      <c r="J85" s="5">
        <f t="shared" si="4"/>
        <v>1.2729007633587786</v>
      </c>
    </row>
    <row r="86" spans="2:10" ht="16" thickBot="1">
      <c r="B86" s="3">
        <v>8</v>
      </c>
      <c r="C86" s="4">
        <v>480</v>
      </c>
      <c r="D86" s="4">
        <v>480</v>
      </c>
      <c r="E86" s="5">
        <v>6.72</v>
      </c>
      <c r="F86" s="5">
        <v>1.1779999999999999</v>
      </c>
      <c r="G86" s="5">
        <v>11.42</v>
      </c>
      <c r="H86" s="5">
        <v>5.0599999999999996</v>
      </c>
      <c r="I86" s="5">
        <v>3.73</v>
      </c>
      <c r="J86" s="5">
        <f t="shared" si="4"/>
        <v>1.8016085790884717</v>
      </c>
    </row>
    <row r="87" spans="2:10" ht="16" thickBot="1">
      <c r="B87" s="3">
        <v>9</v>
      </c>
      <c r="C87" s="4">
        <v>540</v>
      </c>
      <c r="D87" s="4">
        <v>540</v>
      </c>
      <c r="E87" s="5">
        <v>6.74</v>
      </c>
      <c r="F87" s="5">
        <v>0.92600000000000005</v>
      </c>
      <c r="G87" s="5">
        <v>10.02</v>
      </c>
      <c r="H87" s="5">
        <v>3.23</v>
      </c>
      <c r="I87" s="5">
        <v>2.94</v>
      </c>
      <c r="J87" s="5">
        <f t="shared" si="4"/>
        <v>2.2925170068027212</v>
      </c>
    </row>
    <row r="88" spans="2:10" ht="16" thickBot="1">
      <c r="B88" s="3">
        <v>10</v>
      </c>
      <c r="C88" s="4">
        <v>600</v>
      </c>
      <c r="D88" s="4">
        <v>600</v>
      </c>
      <c r="E88" s="5">
        <v>6.75</v>
      </c>
      <c r="F88" s="5">
        <v>0.76900000000000002</v>
      </c>
      <c r="G88" s="5">
        <v>9.19</v>
      </c>
      <c r="H88" s="5">
        <v>2.641</v>
      </c>
      <c r="I88" s="5">
        <v>2.44</v>
      </c>
      <c r="J88" s="5">
        <f t="shared" si="4"/>
        <v>2.7663934426229511</v>
      </c>
    </row>
    <row r="89" spans="2:10" ht="16" thickBot="1">
      <c r="B89" s="3">
        <v>11</v>
      </c>
      <c r="C89" s="4">
        <v>660</v>
      </c>
      <c r="D89" s="4">
        <v>660</v>
      </c>
      <c r="E89" s="5">
        <v>6.76</v>
      </c>
      <c r="F89" s="5">
        <v>0.66300000000000003</v>
      </c>
      <c r="G89" s="5">
        <v>8.66</v>
      </c>
      <c r="H89" s="5">
        <v>2.0680000000000001</v>
      </c>
      <c r="I89" s="5">
        <v>2.1</v>
      </c>
      <c r="J89" s="5">
        <f t="shared" si="4"/>
        <v>3.2190476190476187</v>
      </c>
    </row>
    <row r="109" spans="2:6" ht="14.5" thickBot="1">
      <c r="B109" s="17"/>
    </row>
    <row r="110" spans="2:6" ht="42.5" thickBot="1">
      <c r="B110" s="18" t="s">
        <v>15</v>
      </c>
      <c r="C110" s="19" t="s">
        <v>16</v>
      </c>
      <c r="D110" s="19" t="s">
        <v>17</v>
      </c>
      <c r="E110" s="19" t="s">
        <v>18</v>
      </c>
      <c r="F110" s="19" t="s">
        <v>19</v>
      </c>
    </row>
    <row r="111" spans="2:6" ht="14.5" thickBot="1">
      <c r="B111" s="20" t="s">
        <v>20</v>
      </c>
      <c r="C111" s="21">
        <v>439.82</v>
      </c>
      <c r="D111" s="21">
        <v>11052.426600000001</v>
      </c>
      <c r="E111" s="21">
        <f>SQRT(D111/C111)</f>
        <v>5.012926449255831</v>
      </c>
      <c r="F111" s="21">
        <v>5</v>
      </c>
    </row>
    <row r="112" spans="2:6">
      <c r="B112" s="17"/>
    </row>
    <row r="113" spans="1:9" ht="14.5" thickBot="1"/>
    <row r="114" spans="1:9" ht="30.75" customHeight="1">
      <c r="A114" s="24" t="s">
        <v>0</v>
      </c>
      <c r="B114" s="24" t="s">
        <v>1</v>
      </c>
      <c r="C114" s="24" t="s">
        <v>2</v>
      </c>
      <c r="D114" s="24" t="s">
        <v>3</v>
      </c>
      <c r="E114" s="24" t="s">
        <v>21</v>
      </c>
      <c r="F114" s="24" t="s">
        <v>22</v>
      </c>
      <c r="G114" s="24" t="s">
        <v>23</v>
      </c>
      <c r="H114" s="24" t="s">
        <v>24</v>
      </c>
      <c r="I114" s="22" t="s">
        <v>25</v>
      </c>
    </row>
    <row r="115" spans="1:9" ht="16" thickBot="1">
      <c r="A115" s="25"/>
      <c r="B115" s="25"/>
      <c r="C115" s="25"/>
      <c r="D115" s="25"/>
      <c r="E115" s="25"/>
      <c r="F115" s="25"/>
      <c r="G115" s="25"/>
      <c r="H115" s="25"/>
      <c r="I115" s="5" t="s">
        <v>26</v>
      </c>
    </row>
    <row r="116" spans="1:9" ht="16" thickBot="1">
      <c r="A116" s="3">
        <v>1</v>
      </c>
      <c r="B116" s="4">
        <v>60</v>
      </c>
      <c r="C116" s="4">
        <v>60</v>
      </c>
      <c r="D116" s="5">
        <v>5.7629999999999999</v>
      </c>
      <c r="E116" s="5">
        <v>23.8</v>
      </c>
      <c r="F116" s="5">
        <v>0.64</v>
      </c>
      <c r="G116" s="5">
        <v>18.28</v>
      </c>
      <c r="H116" s="5">
        <v>14.32</v>
      </c>
      <c r="I116" s="5">
        <f>D116/E116</f>
        <v>0.24214285714285713</v>
      </c>
    </row>
    <row r="117" spans="1:9" ht="16" thickBot="1">
      <c r="A117" s="3">
        <v>2</v>
      </c>
      <c r="B117" s="4">
        <v>120</v>
      </c>
      <c r="C117" s="4">
        <v>120</v>
      </c>
      <c r="D117" s="5">
        <v>5.8029999999999999</v>
      </c>
      <c r="E117" s="5">
        <v>20.2</v>
      </c>
      <c r="F117" s="5">
        <v>1.07</v>
      </c>
      <c r="G117" s="5">
        <v>18.37</v>
      </c>
      <c r="H117" s="5">
        <v>7.36</v>
      </c>
      <c r="I117" s="5">
        <f t="shared" ref="I117:I126" si="5">D117/E117</f>
        <v>0.28727722772277231</v>
      </c>
    </row>
    <row r="118" spans="1:9" ht="16" thickBot="1">
      <c r="A118" s="3">
        <v>3</v>
      </c>
      <c r="B118" s="4">
        <v>180</v>
      </c>
      <c r="C118" s="4">
        <v>180</v>
      </c>
      <c r="D118" s="5">
        <v>5.82</v>
      </c>
      <c r="E118" s="5">
        <v>19</v>
      </c>
      <c r="F118" s="5">
        <v>1.61</v>
      </c>
      <c r="G118" s="5">
        <v>18.39</v>
      </c>
      <c r="H118" s="5">
        <v>4.96</v>
      </c>
      <c r="I118" s="5">
        <f t="shared" si="5"/>
        <v>0.30631578947368421</v>
      </c>
    </row>
    <row r="119" spans="1:9" ht="16" thickBot="1">
      <c r="A119" s="3">
        <v>4</v>
      </c>
      <c r="B119" s="4">
        <v>240</v>
      </c>
      <c r="C119" s="4">
        <v>240</v>
      </c>
      <c r="D119" s="5">
        <v>5.82</v>
      </c>
      <c r="E119" s="5">
        <v>18.72</v>
      </c>
      <c r="F119" s="5">
        <v>2.15</v>
      </c>
      <c r="G119" s="5">
        <v>18.39</v>
      </c>
      <c r="H119" s="5">
        <v>3.75</v>
      </c>
      <c r="I119" s="5">
        <f t="shared" si="5"/>
        <v>0.31089743589743596</v>
      </c>
    </row>
    <row r="120" spans="1:9" ht="16" thickBot="1">
      <c r="A120" s="3">
        <v>5</v>
      </c>
      <c r="B120" s="4">
        <v>300</v>
      </c>
      <c r="C120" s="4">
        <v>300</v>
      </c>
      <c r="D120" s="5">
        <v>5.82</v>
      </c>
      <c r="E120" s="5">
        <v>18.600000000000001</v>
      </c>
      <c r="F120" s="5">
        <v>2.67</v>
      </c>
      <c r="G120" s="5">
        <v>18.38</v>
      </c>
      <c r="H120" s="5">
        <v>3.02</v>
      </c>
      <c r="I120" s="5">
        <f t="shared" si="5"/>
        <v>0.31290322580645158</v>
      </c>
    </row>
    <row r="121" spans="1:9" ht="16" thickBot="1">
      <c r="A121" s="3">
        <v>6</v>
      </c>
      <c r="B121" s="4">
        <v>360</v>
      </c>
      <c r="C121" s="4">
        <v>360</v>
      </c>
      <c r="D121" s="5">
        <v>5.82</v>
      </c>
      <c r="E121" s="5">
        <v>18.59</v>
      </c>
      <c r="F121" s="5">
        <v>3.2</v>
      </c>
      <c r="G121" s="5">
        <v>18.37</v>
      </c>
      <c r="H121" s="5">
        <v>2.54</v>
      </c>
      <c r="I121" s="5">
        <f t="shared" si="5"/>
        <v>0.31307154384077462</v>
      </c>
    </row>
    <row r="122" spans="1:9" ht="16" thickBot="1">
      <c r="A122" s="3">
        <v>7</v>
      </c>
      <c r="B122" s="4">
        <v>420</v>
      </c>
      <c r="C122" s="4">
        <v>420</v>
      </c>
      <c r="D122" s="5">
        <v>5.82</v>
      </c>
      <c r="E122" s="5">
        <v>18.62</v>
      </c>
      <c r="F122" s="5">
        <v>3.75</v>
      </c>
      <c r="G122" s="5">
        <v>18.350000000000001</v>
      </c>
      <c r="H122" s="5">
        <v>2.19</v>
      </c>
      <c r="I122" s="5">
        <f t="shared" si="5"/>
        <v>0.31256713211600429</v>
      </c>
    </row>
    <row r="123" spans="1:9" ht="16" thickBot="1">
      <c r="A123" s="3">
        <v>8</v>
      </c>
      <c r="B123" s="4">
        <v>480</v>
      </c>
      <c r="C123" s="4">
        <v>480</v>
      </c>
      <c r="D123" s="5">
        <v>5.82</v>
      </c>
      <c r="E123" s="5">
        <v>18.670000000000002</v>
      </c>
      <c r="F123" s="5">
        <v>4.2699999999999996</v>
      </c>
      <c r="G123" s="5">
        <v>18.3</v>
      </c>
      <c r="H123" s="5">
        <v>1.93</v>
      </c>
      <c r="I123" s="5">
        <f t="shared" si="5"/>
        <v>0.31173004820567757</v>
      </c>
    </row>
    <row r="124" spans="1:9" ht="16" thickBot="1">
      <c r="A124" s="3">
        <v>9</v>
      </c>
      <c r="B124" s="4">
        <v>540</v>
      </c>
      <c r="C124" s="4">
        <v>540</v>
      </c>
      <c r="D124" s="5">
        <v>5.82</v>
      </c>
      <c r="E124" s="5">
        <v>18.75</v>
      </c>
      <c r="F124" s="5">
        <v>4.8099999999999996</v>
      </c>
      <c r="G124" s="5">
        <v>18.3</v>
      </c>
      <c r="H124" s="5">
        <v>1.72</v>
      </c>
      <c r="I124" s="5">
        <f t="shared" si="5"/>
        <v>0.31040000000000001</v>
      </c>
    </row>
    <row r="125" spans="1:9" ht="16" thickBot="1">
      <c r="A125" s="3">
        <v>10</v>
      </c>
      <c r="B125" s="4">
        <v>600</v>
      </c>
      <c r="C125" s="4">
        <v>600</v>
      </c>
      <c r="D125" s="5">
        <v>5.82</v>
      </c>
      <c r="E125" s="5">
        <v>18.86</v>
      </c>
      <c r="F125" s="5">
        <v>5.33</v>
      </c>
      <c r="G125" s="5">
        <v>18.29</v>
      </c>
      <c r="H125" s="5">
        <v>1.55</v>
      </c>
      <c r="I125" s="5">
        <f t="shared" si="5"/>
        <v>0.30858960763520682</v>
      </c>
    </row>
    <row r="126" spans="1:9" ht="16" thickBot="1">
      <c r="A126" s="3">
        <v>11</v>
      </c>
      <c r="B126" s="4">
        <v>660</v>
      </c>
      <c r="C126" s="4">
        <v>660</v>
      </c>
      <c r="D126" s="5">
        <v>5.82</v>
      </c>
      <c r="E126" s="5">
        <v>18.98</v>
      </c>
      <c r="F126" s="5">
        <v>5.86</v>
      </c>
      <c r="G126" s="5">
        <v>18.23</v>
      </c>
      <c r="H126" s="5">
        <v>1.42</v>
      </c>
      <c r="I126" s="5">
        <f t="shared" si="5"/>
        <v>0.30663856691253955</v>
      </c>
    </row>
    <row r="127" spans="1:9" ht="15.5">
      <c r="A127" s="23"/>
    </row>
  </sheetData>
  <mergeCells count="8">
    <mergeCell ref="G114:G115"/>
    <mergeCell ref="H114:H115"/>
    <mergeCell ref="A114:A115"/>
    <mergeCell ref="B114:B115"/>
    <mergeCell ref="C114:C115"/>
    <mergeCell ref="D114:D115"/>
    <mergeCell ref="E114:E115"/>
    <mergeCell ref="F114:F1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Tecsup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Neils Ilizarbe Sillo</cp:lastModifiedBy>
  <dcterms:created xsi:type="dcterms:W3CDTF">2026-05-30T21:01:30Z</dcterms:created>
  <dcterms:modified xsi:type="dcterms:W3CDTF">2026-05-31T01:14:02Z</dcterms:modified>
</cp:coreProperties>
</file>